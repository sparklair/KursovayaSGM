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mlv\Desktop\"/>
    </mc:Choice>
  </mc:AlternateContent>
  <xr:revisionPtr revIDLastSave="0" documentId="13_ncr:1_{F59B4715-3F0F-4858-95F8-AB84894A2723}" xr6:coauthVersionLast="47" xr6:coauthVersionMax="47" xr10:uidLastSave="{00000000-0000-0000-0000-000000000000}"/>
  <bookViews>
    <workbookView xWindow="-108" yWindow="-108" windowWidth="23256" windowHeight="12456" xr2:uid="{901E8AA5-3467-4059-933F-8497F882285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2" i="1" l="1"/>
  <c r="H37" i="1"/>
  <c r="H38" i="1"/>
  <c r="H39" i="1"/>
  <c r="H40" i="1"/>
  <c r="I40" i="1" s="1"/>
  <c r="H41" i="1"/>
  <c r="H42" i="1"/>
  <c r="H43" i="1"/>
  <c r="H44" i="1"/>
  <c r="H36" i="1"/>
  <c r="G37" i="1"/>
  <c r="G38" i="1"/>
  <c r="J38" i="1" s="1"/>
  <c r="G39" i="1"/>
  <c r="G40" i="1"/>
  <c r="G41" i="1"/>
  <c r="G42" i="1"/>
  <c r="J42" i="1" s="1"/>
  <c r="G43" i="1"/>
  <c r="G44" i="1"/>
  <c r="G36" i="1"/>
  <c r="E28" i="1"/>
  <c r="E29" i="1" s="1"/>
  <c r="F28" i="1"/>
  <c r="G28" i="1"/>
  <c r="H28" i="1"/>
  <c r="I28" i="1"/>
  <c r="J28" i="1"/>
  <c r="K28" i="1"/>
  <c r="L28" i="1"/>
  <c r="D28" i="1"/>
  <c r="M28" i="1" s="1"/>
  <c r="E27" i="1"/>
  <c r="F27" i="1"/>
  <c r="G27" i="1"/>
  <c r="M27" i="1" s="1"/>
  <c r="H27" i="1"/>
  <c r="H30" i="1" s="1"/>
  <c r="I27" i="1"/>
  <c r="J27" i="1"/>
  <c r="K27" i="1"/>
  <c r="K30" i="1" s="1"/>
  <c r="L27" i="1"/>
  <c r="L29" i="1" s="1"/>
  <c r="D27" i="1"/>
  <c r="E41" i="1"/>
  <c r="C41" i="1"/>
  <c r="J37" i="1"/>
  <c r="J39" i="1"/>
  <c r="J40" i="1"/>
  <c r="J41" i="1"/>
  <c r="J43" i="1"/>
  <c r="J44" i="1"/>
  <c r="J36" i="1"/>
  <c r="I39" i="1"/>
  <c r="I43" i="1"/>
  <c r="I44" i="1"/>
  <c r="I36" i="1"/>
  <c r="E60" i="1"/>
  <c r="F60" i="1" s="1"/>
  <c r="G60" i="1" s="1"/>
  <c r="E53" i="1"/>
  <c r="F53" i="1" s="1"/>
  <c r="G53" i="1" s="1"/>
  <c r="E54" i="1"/>
  <c r="F54" i="1" s="1"/>
  <c r="G54" i="1" s="1"/>
  <c r="E55" i="1"/>
  <c r="F55" i="1" s="1"/>
  <c r="G55" i="1" s="1"/>
  <c r="E56" i="1"/>
  <c r="F56" i="1" s="1"/>
  <c r="G56" i="1" s="1"/>
  <c r="E57" i="1"/>
  <c r="E58" i="1"/>
  <c r="F58" i="1" s="1"/>
  <c r="G58" i="1" s="1"/>
  <c r="E59" i="1"/>
  <c r="F59" i="1" s="1"/>
  <c r="G59" i="1" s="1"/>
  <c r="E52" i="1"/>
  <c r="F52" i="1" s="1"/>
  <c r="G52" i="1" s="1"/>
  <c r="F29" i="1"/>
  <c r="G29" i="1"/>
  <c r="F30" i="1"/>
  <c r="F57" i="1"/>
  <c r="G57" i="1" s="1"/>
  <c r="E30" i="1"/>
  <c r="I30" i="1"/>
  <c r="J30" i="1"/>
  <c r="D30" i="1"/>
  <c r="I29" i="1"/>
  <c r="J29" i="1"/>
  <c r="I41" i="1" l="1"/>
  <c r="I37" i="1"/>
  <c r="I42" i="1"/>
  <c r="I38" i="1"/>
  <c r="D29" i="1"/>
  <c r="L30" i="1"/>
  <c r="K29" i="1"/>
  <c r="G30" i="1"/>
  <c r="H29" i="1"/>
  <c r="M29" i="1" s="1"/>
  <c r="G61" i="1"/>
  <c r="M30" i="1"/>
</calcChain>
</file>

<file path=xl/sharedStrings.xml><?xml version="1.0" encoding="utf-8"?>
<sst xmlns="http://schemas.openxmlformats.org/spreadsheetml/2006/main" count="28" uniqueCount="21">
  <si>
    <t>x</t>
  </si>
  <si>
    <t>y</t>
  </si>
  <si>
    <t>x * y</t>
  </si>
  <si>
    <t>x2</t>
  </si>
  <si>
    <t>сумма</t>
  </si>
  <si>
    <t>e1</t>
  </si>
  <si>
    <t>e1^2</t>
  </si>
  <si>
    <t>суммы</t>
  </si>
  <si>
    <t>9b + 13,819a = -0,016</t>
  </si>
  <si>
    <t>13,819b + 28,603a = -21,150</t>
  </si>
  <si>
    <t>y(x)</t>
  </si>
  <si>
    <t>xy</t>
  </si>
  <si>
    <t xml:space="preserve"> из скрипта</t>
  </si>
  <si>
    <t xml:space="preserve">b = </t>
  </si>
  <si>
    <t xml:space="preserve">a = </t>
  </si>
  <si>
    <t>Здесь всё-таки удобнее копировать</t>
  </si>
  <si>
    <t>Уравнение</t>
  </si>
  <si>
    <r>
      <rPr>
        <sz val="14"/>
        <color theme="1"/>
        <rFont val="Aptos Narrow"/>
        <family val="2"/>
        <scheme val="minor"/>
      </rPr>
      <t xml:space="preserve"> y</t>
    </r>
    <r>
      <rPr>
        <sz val="11"/>
        <color theme="1"/>
        <rFont val="Aptos Narrow"/>
        <family val="2"/>
        <charset val="204"/>
        <scheme val="minor"/>
      </rPr>
      <t xml:space="preserve"> = </t>
    </r>
  </si>
  <si>
    <r>
      <rPr>
        <sz val="14"/>
        <color theme="1"/>
        <rFont val="Aptos Narrow"/>
        <family val="2"/>
        <scheme val="minor"/>
      </rPr>
      <t xml:space="preserve"> x</t>
    </r>
    <r>
      <rPr>
        <sz val="11"/>
        <color theme="1"/>
        <rFont val="Aptos Narrow"/>
        <family val="2"/>
        <charset val="204"/>
        <scheme val="minor"/>
      </rPr>
      <t xml:space="preserve">        + </t>
    </r>
  </si>
  <si>
    <t>эти коэф-ты вставлять в скрипт</t>
  </si>
  <si>
    <r>
      <rPr>
        <sz val="16"/>
        <color theme="1"/>
        <rFont val="Aptos Narrow"/>
        <family val="2"/>
      </rPr>
      <t>σ</t>
    </r>
    <r>
      <rPr>
        <sz val="11"/>
        <color theme="1"/>
        <rFont val="Aptos Narrow"/>
        <family val="2"/>
        <charset val="204"/>
        <scheme val="minor"/>
      </rPr>
      <t xml:space="preserve"> =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</si>
</sst>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2" xfId="0" applyNumberFormat="1" applyBorder="1"/>
    <xf numFmtId="0" fontId="0" fillId="0" borderId="3" xfId="0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0" xfId="0" applyNumberFormat="1"/>
    <xf numFmtId="0" fontId="1" fillId="0" borderId="6" xfId="0" applyFont="1" applyBorder="1" applyAlignment="1">
      <alignment horizontal="right" vertic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 shrinkToFit="1"/>
    </xf>
    <xf numFmtId="0" fontId="0" fillId="0" borderId="10" xfId="0" applyBorder="1" applyAlignment="1">
      <alignment horizontal="center"/>
    </xf>
    <xf numFmtId="165" fontId="0" fillId="0" borderId="8" xfId="0" applyNumberFormat="1" applyBorder="1" applyAlignment="1">
      <alignment horizontal="left"/>
    </xf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0" fillId="2" borderId="1" xfId="0" applyFill="1" applyBorder="1"/>
    <xf numFmtId="0" fontId="0" fillId="2" borderId="0" xfId="0" applyFill="1" applyAlignment="1">
      <alignment horizontal="right"/>
    </xf>
    <xf numFmtId="0" fontId="0" fillId="0" borderId="9" xfId="0" applyBorder="1" applyAlignment="1">
      <alignment horizontal="center" wrapText="1" shrinkToFit="1"/>
    </xf>
    <xf numFmtId="0" fontId="0" fillId="0" borderId="0" xfId="0" applyAlignment="1">
      <alignment horizontal="center" wrapText="1" shrinkToFit="1"/>
    </xf>
    <xf numFmtId="0" fontId="0" fillId="2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90518801158803"/>
          <c:y val="0.12411202788708682"/>
          <c:w val="0.77066047677910277"/>
          <c:h val="0.76253370941202359"/>
        </c:manualLayout>
      </c:layout>
      <c:lineChart>
        <c:grouping val="standard"/>
        <c:varyColors val="0"/>
        <c:ser>
          <c:idx val="1"/>
          <c:order val="1"/>
          <c:tx>
            <c:strRef>
              <c:f>Лист1!$C$2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Лист1!$D$1:$L$1</c:f>
              <c:numCache>
                <c:formatCode>0.000</c:formatCode>
                <c:ptCount val="9"/>
                <c:pt idx="0">
                  <c:v>0.13200000000000001</c:v>
                </c:pt>
                <c:pt idx="1">
                  <c:v>0.48299999999999998</c:v>
                </c:pt>
                <c:pt idx="2">
                  <c:v>0.83399999999999996</c:v>
                </c:pt>
                <c:pt idx="3">
                  <c:v>1.1850000000000001</c:v>
                </c:pt>
                <c:pt idx="4">
                  <c:v>1.5349999999999999</c:v>
                </c:pt>
                <c:pt idx="5">
                  <c:v>1.8859999999999999</c:v>
                </c:pt>
                <c:pt idx="6">
                  <c:v>2.2370000000000001</c:v>
                </c:pt>
                <c:pt idx="7">
                  <c:v>2.5880000000000001</c:v>
                </c:pt>
                <c:pt idx="8">
                  <c:v>2.9390000000000001</c:v>
                </c:pt>
              </c:numCache>
            </c:numRef>
          </c:cat>
          <c:val>
            <c:numRef>
              <c:f>Лист1!$D$2:$L$2</c:f>
              <c:numCache>
                <c:formatCode>0.000</c:formatCode>
                <c:ptCount val="9"/>
                <c:pt idx="0">
                  <c:v>6.5309999999999997</c:v>
                </c:pt>
                <c:pt idx="1">
                  <c:v>5.625</c:v>
                </c:pt>
                <c:pt idx="2">
                  <c:v>-0.53400000000000003</c:v>
                </c:pt>
                <c:pt idx="3">
                  <c:v>-1.694</c:v>
                </c:pt>
                <c:pt idx="4">
                  <c:v>-1.9019999999999999</c:v>
                </c:pt>
                <c:pt idx="5">
                  <c:v>-2.069</c:v>
                </c:pt>
                <c:pt idx="6">
                  <c:v>-1.9339999999999999</c:v>
                </c:pt>
                <c:pt idx="7">
                  <c:v>-2.1139999999999999</c:v>
                </c:pt>
                <c:pt idx="8" formatCode="General">
                  <c:v>-1.925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0-4411-9273-CC6D69A0D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296943"/>
        <c:axId val="20322487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Лист1!$C$1</c15:sqref>
                        </c15:formulaRef>
                      </c:ext>
                    </c:extLst>
                    <c:strCache>
                      <c:ptCount val="1"/>
                      <c:pt idx="0">
                        <c:v>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Лист1!$D$1:$L$1</c15:sqref>
                        </c15:formulaRef>
                      </c:ext>
                    </c:extLst>
                    <c:numCache>
                      <c:formatCode>0.000</c:formatCode>
                      <c:ptCount val="9"/>
                      <c:pt idx="0">
                        <c:v>0.13200000000000001</c:v>
                      </c:pt>
                      <c:pt idx="1">
                        <c:v>0.48299999999999998</c:v>
                      </c:pt>
                      <c:pt idx="2">
                        <c:v>0.83399999999999996</c:v>
                      </c:pt>
                      <c:pt idx="3">
                        <c:v>1.1850000000000001</c:v>
                      </c:pt>
                      <c:pt idx="4">
                        <c:v>1.5349999999999999</c:v>
                      </c:pt>
                      <c:pt idx="5">
                        <c:v>1.8859999999999999</c:v>
                      </c:pt>
                      <c:pt idx="6">
                        <c:v>2.2370000000000001</c:v>
                      </c:pt>
                      <c:pt idx="7">
                        <c:v>2.5880000000000001</c:v>
                      </c:pt>
                      <c:pt idx="8">
                        <c:v>2.9390000000000001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Лист1!$D$1:$L$1</c15:sqref>
                        </c15:formulaRef>
                      </c:ext>
                    </c:extLst>
                    <c:numCache>
                      <c:formatCode>0.000</c:formatCode>
                      <c:ptCount val="9"/>
                      <c:pt idx="0">
                        <c:v>0.13200000000000001</c:v>
                      </c:pt>
                      <c:pt idx="1">
                        <c:v>0.48299999999999998</c:v>
                      </c:pt>
                      <c:pt idx="2">
                        <c:v>0.83399999999999996</c:v>
                      </c:pt>
                      <c:pt idx="3">
                        <c:v>1.1850000000000001</c:v>
                      </c:pt>
                      <c:pt idx="4">
                        <c:v>1.5349999999999999</c:v>
                      </c:pt>
                      <c:pt idx="5">
                        <c:v>1.8859999999999999</c:v>
                      </c:pt>
                      <c:pt idx="6">
                        <c:v>2.2370000000000001</c:v>
                      </c:pt>
                      <c:pt idx="7">
                        <c:v>2.5880000000000001</c:v>
                      </c:pt>
                      <c:pt idx="8">
                        <c:v>2.9390000000000001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EB0-4411-9273-CC6D69A0DF8F}"/>
                  </c:ext>
                </c:extLst>
              </c15:ser>
            </c15:filteredLineSeries>
          </c:ext>
        </c:extLst>
      </c:lineChart>
      <c:catAx>
        <c:axId val="2033296943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2248719"/>
        <c:crosses val="autoZero"/>
        <c:auto val="1"/>
        <c:lblAlgn val="ctr"/>
        <c:lblOffset val="100"/>
        <c:noMultiLvlLbl val="0"/>
      </c:catAx>
      <c:valAx>
        <c:axId val="20322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29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177980</xdr:rowOff>
    </xdr:from>
    <xdr:to>
      <xdr:col>6</xdr:col>
      <xdr:colOff>446315</xdr:colOff>
      <xdr:row>23</xdr:row>
      <xdr:rowOff>87085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051DC26-DFB3-65E0-31DA-C510293C4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576943</xdr:colOff>
      <xdr:row>8</xdr:row>
      <xdr:rowOff>76201</xdr:rowOff>
    </xdr:from>
    <xdr:to>
      <xdr:col>11</xdr:col>
      <xdr:colOff>271244</xdr:colOff>
      <xdr:row>14</xdr:row>
      <xdr:rowOff>110044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4E7C40B-C196-4D22-B45D-D5AD33472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1556658"/>
          <a:ext cx="2187130" cy="1144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6816-0900-4C11-BCD3-1314F7C5AE3B}">
  <dimension ref="A1:O62"/>
  <sheetViews>
    <sheetView tabSelected="1" topLeftCell="A33" zoomScale="70" zoomScaleNormal="70" workbookViewId="0">
      <selection activeCell="D62" sqref="D62"/>
    </sheetView>
  </sheetViews>
  <sheetFormatPr defaultRowHeight="14.4" x14ac:dyDescent="0.3"/>
  <cols>
    <col min="1" max="1" width="11.109375" customWidth="1"/>
    <col min="3" max="3" width="12.77734375" customWidth="1"/>
    <col min="4" max="4" width="9.77734375" customWidth="1"/>
    <col min="11" max="11" width="9.6640625" customWidth="1"/>
    <col min="12" max="12" width="11.21875" customWidth="1"/>
    <col min="13" max="13" width="11" customWidth="1"/>
    <col min="20" max="20" width="21.44140625" customWidth="1"/>
  </cols>
  <sheetData>
    <row r="1" spans="3:12" x14ac:dyDescent="0.3">
      <c r="C1" s="19" t="s">
        <v>0</v>
      </c>
      <c r="D1" s="2">
        <v>0.13200000000000001</v>
      </c>
      <c r="E1" s="2">
        <v>0.48299999999999998</v>
      </c>
      <c r="F1" s="2">
        <v>0.83399999999999996</v>
      </c>
      <c r="G1" s="2">
        <v>1.1850000000000001</v>
      </c>
      <c r="H1" s="2">
        <v>1.5349999999999999</v>
      </c>
      <c r="I1" s="2">
        <v>1.8859999999999999</v>
      </c>
      <c r="J1" s="2">
        <v>2.2370000000000001</v>
      </c>
      <c r="K1" s="2">
        <v>2.5880000000000001</v>
      </c>
      <c r="L1" s="2">
        <v>2.9390000000000001</v>
      </c>
    </row>
    <row r="2" spans="3:12" x14ac:dyDescent="0.3">
      <c r="C2" s="19" t="s">
        <v>1</v>
      </c>
      <c r="D2" s="2">
        <v>6.5309999999999997</v>
      </c>
      <c r="E2" s="2">
        <v>5.625</v>
      </c>
      <c r="F2" s="2">
        <v>-0.53400000000000003</v>
      </c>
      <c r="G2" s="2">
        <v>-1.694</v>
      </c>
      <c r="H2" s="2">
        <v>-1.9019999999999999</v>
      </c>
      <c r="I2" s="2">
        <v>-2.069</v>
      </c>
      <c r="J2" s="2">
        <v>-1.9339999999999999</v>
      </c>
      <c r="K2" s="2">
        <v>-2.1139999999999999</v>
      </c>
      <c r="L2" s="1">
        <v>-1.925</v>
      </c>
    </row>
    <row r="25" spans="1:13" ht="15" thickBot="1" x14ac:dyDescent="0.35"/>
    <row r="26" spans="1:13" ht="15" thickBot="1" x14ac:dyDescent="0.35">
      <c r="M26" s="4" t="s">
        <v>7</v>
      </c>
    </row>
    <row r="27" spans="1:13" ht="15" thickBot="1" x14ac:dyDescent="0.35">
      <c r="C27" s="1" t="s">
        <v>0</v>
      </c>
      <c r="D27" s="2">
        <f>D1</f>
        <v>0.13200000000000001</v>
      </c>
      <c r="E27" s="2">
        <f t="shared" ref="E27:L27" si="0">E1</f>
        <v>0.48299999999999998</v>
      </c>
      <c r="F27" s="2">
        <f t="shared" si="0"/>
        <v>0.83399999999999996</v>
      </c>
      <c r="G27" s="2">
        <f t="shared" si="0"/>
        <v>1.1850000000000001</v>
      </c>
      <c r="H27" s="2">
        <f t="shared" si="0"/>
        <v>1.5349999999999999</v>
      </c>
      <c r="I27" s="2">
        <f t="shared" si="0"/>
        <v>1.8859999999999999</v>
      </c>
      <c r="J27" s="2">
        <f t="shared" si="0"/>
        <v>2.2370000000000001</v>
      </c>
      <c r="K27" s="2">
        <f t="shared" si="0"/>
        <v>2.5880000000000001</v>
      </c>
      <c r="L27" s="2">
        <f t="shared" si="0"/>
        <v>2.9390000000000001</v>
      </c>
      <c r="M27" s="5">
        <f>SUM(D27:L27)</f>
        <v>13.818999999999999</v>
      </c>
    </row>
    <row r="28" spans="1:13" ht="15" thickBot="1" x14ac:dyDescent="0.35">
      <c r="C28" s="1" t="s">
        <v>1</v>
      </c>
      <c r="D28" s="2">
        <f>D2</f>
        <v>6.5309999999999997</v>
      </c>
      <c r="E28" s="2">
        <f t="shared" ref="E28:L28" si="1">E2</f>
        <v>5.625</v>
      </c>
      <c r="F28" s="2">
        <f t="shared" si="1"/>
        <v>-0.53400000000000003</v>
      </c>
      <c r="G28" s="2">
        <f t="shared" si="1"/>
        <v>-1.694</v>
      </c>
      <c r="H28" s="2">
        <f t="shared" si="1"/>
        <v>-1.9019999999999999</v>
      </c>
      <c r="I28" s="2">
        <f t="shared" si="1"/>
        <v>-2.069</v>
      </c>
      <c r="J28" s="2">
        <f t="shared" si="1"/>
        <v>-1.9339999999999999</v>
      </c>
      <c r="K28" s="2">
        <f t="shared" si="1"/>
        <v>-2.1139999999999999</v>
      </c>
      <c r="L28" s="2">
        <f t="shared" si="1"/>
        <v>-1.925</v>
      </c>
      <c r="M28" s="5">
        <f>SUM(D28:L28)</f>
        <v>-1.6000000000002013E-2</v>
      </c>
    </row>
    <row r="29" spans="1:13" ht="15" thickBot="1" x14ac:dyDescent="0.35">
      <c r="C29" s="1" t="s">
        <v>2</v>
      </c>
      <c r="D29" s="2">
        <f>D27*D28</f>
        <v>0.86209199999999997</v>
      </c>
      <c r="E29" s="2">
        <f t="shared" ref="E29:L29" si="2">E27*E28</f>
        <v>2.7168749999999999</v>
      </c>
      <c r="F29" s="2">
        <f t="shared" si="2"/>
        <v>-0.44535600000000003</v>
      </c>
      <c r="G29" s="2">
        <f t="shared" si="2"/>
        <v>-2.00739</v>
      </c>
      <c r="H29" s="2">
        <f t="shared" si="2"/>
        <v>-2.9195699999999998</v>
      </c>
      <c r="I29" s="2">
        <f t="shared" si="2"/>
        <v>-3.9021339999999998</v>
      </c>
      <c r="J29" s="2">
        <f t="shared" si="2"/>
        <v>-4.3263579999999999</v>
      </c>
      <c r="K29" s="2">
        <f t="shared" si="2"/>
        <v>-5.4710320000000001</v>
      </c>
      <c r="L29" s="3">
        <f t="shared" si="2"/>
        <v>-5.6575750000000005</v>
      </c>
      <c r="M29" s="5">
        <f>SUM(D29:L29)</f>
        <v>-21.150448000000001</v>
      </c>
    </row>
    <row r="30" spans="1:13" x14ac:dyDescent="0.3">
      <c r="C30" s="1" t="s">
        <v>3</v>
      </c>
      <c r="D30" s="2">
        <f>D27*D27</f>
        <v>1.7424000000000002E-2</v>
      </c>
      <c r="E30" s="2">
        <f t="shared" ref="E30:L30" si="3">E27*E27</f>
        <v>0.233289</v>
      </c>
      <c r="F30" s="2">
        <f t="shared" si="3"/>
        <v>0.69555599999999995</v>
      </c>
      <c r="G30" s="2">
        <f t="shared" si="3"/>
        <v>1.4042250000000001</v>
      </c>
      <c r="H30" s="2">
        <f t="shared" si="3"/>
        <v>2.3562249999999998</v>
      </c>
      <c r="I30" s="2">
        <f t="shared" si="3"/>
        <v>3.5569959999999998</v>
      </c>
      <c r="J30" s="2">
        <f t="shared" si="3"/>
        <v>5.0041690000000001</v>
      </c>
      <c r="K30" s="2">
        <f t="shared" si="3"/>
        <v>6.6977440000000001</v>
      </c>
      <c r="L30" s="3">
        <f t="shared" si="3"/>
        <v>8.6377210000000009</v>
      </c>
      <c r="M30" s="5">
        <f>SUM(D30:L30)</f>
        <v>28.603349000000001</v>
      </c>
    </row>
    <row r="32" spans="1:13" x14ac:dyDescent="0.3">
      <c r="A32" s="23" t="s">
        <v>19</v>
      </c>
      <c r="B32" s="23"/>
      <c r="C32" t="s">
        <v>8</v>
      </c>
    </row>
    <row r="33" spans="1:15" x14ac:dyDescent="0.3">
      <c r="A33" s="23"/>
      <c r="B33" s="23"/>
      <c r="C33" t="s">
        <v>9</v>
      </c>
    </row>
    <row r="35" spans="1:15" ht="30.6" customHeight="1" x14ac:dyDescent="0.3">
      <c r="B35" s="20" t="s">
        <v>13</v>
      </c>
      <c r="C35" s="12">
        <v>4.3906999999999998</v>
      </c>
      <c r="D35" t="s">
        <v>12</v>
      </c>
      <c r="G35" s="1" t="s">
        <v>0</v>
      </c>
      <c r="H35" s="1" t="s">
        <v>1</v>
      </c>
      <c r="I35" s="1" t="s">
        <v>11</v>
      </c>
      <c r="J35" s="1" t="s">
        <v>3</v>
      </c>
      <c r="K35" s="21" t="s">
        <v>15</v>
      </c>
      <c r="L35" s="22"/>
      <c r="M35" s="14"/>
      <c r="N35" s="14"/>
      <c r="O35" s="14"/>
    </row>
    <row r="36" spans="1:15" x14ac:dyDescent="0.3">
      <c r="B36" s="20" t="s">
        <v>14</v>
      </c>
      <c r="C36" s="13">
        <v>-2.8607</v>
      </c>
      <c r="G36" s="2">
        <f>C52</f>
        <v>0.13200000000000001</v>
      </c>
      <c r="H36" s="2">
        <f>D52</f>
        <v>6.5309999999999997</v>
      </c>
      <c r="I36" s="1">
        <f>G36*H36</f>
        <v>0.86209199999999997</v>
      </c>
      <c r="J36" s="1">
        <f>G36*G36</f>
        <v>1.7424000000000002E-2</v>
      </c>
    </row>
    <row r="37" spans="1:15" x14ac:dyDescent="0.3">
      <c r="G37" s="2">
        <f t="shared" ref="G37:G44" si="4">C53</f>
        <v>0.48299999999999998</v>
      </c>
      <c r="H37" s="2">
        <f t="shared" ref="H37:H44" si="5">D53</f>
        <v>5.625</v>
      </c>
      <c r="I37" s="1">
        <f t="shared" ref="I37:I44" si="6">G37*H37</f>
        <v>2.7168749999999999</v>
      </c>
      <c r="J37" s="1">
        <f t="shared" ref="J37:J44" si="7">G37*G37</f>
        <v>0.233289</v>
      </c>
    </row>
    <row r="38" spans="1:15" x14ac:dyDescent="0.3">
      <c r="G38" s="2">
        <f t="shared" si="4"/>
        <v>0.83399999999999996</v>
      </c>
      <c r="H38" s="2">
        <f t="shared" si="5"/>
        <v>-0.53400000000000003</v>
      </c>
      <c r="I38" s="1">
        <f t="shared" si="6"/>
        <v>-0.44535600000000003</v>
      </c>
      <c r="J38" s="1">
        <f t="shared" si="7"/>
        <v>0.69555599999999995</v>
      </c>
    </row>
    <row r="39" spans="1:15" x14ac:dyDescent="0.3">
      <c r="G39" s="2">
        <f t="shared" si="4"/>
        <v>1.1850000000000001</v>
      </c>
      <c r="H39" s="2">
        <f t="shared" si="5"/>
        <v>-1.694</v>
      </c>
      <c r="I39" s="1">
        <f t="shared" si="6"/>
        <v>-2.00739</v>
      </c>
      <c r="J39" s="1">
        <f t="shared" si="7"/>
        <v>1.4042250000000001</v>
      </c>
    </row>
    <row r="40" spans="1:15" ht="15" thickBot="1" x14ac:dyDescent="0.35">
      <c r="G40" s="2">
        <f t="shared" si="4"/>
        <v>1.5349999999999999</v>
      </c>
      <c r="H40" s="2">
        <f t="shared" si="5"/>
        <v>-1.9019999999999999</v>
      </c>
      <c r="I40" s="1">
        <f t="shared" si="6"/>
        <v>-2.9195699999999998</v>
      </c>
      <c r="J40" s="1">
        <f t="shared" si="7"/>
        <v>2.3562249999999998</v>
      </c>
    </row>
    <row r="41" spans="1:15" ht="18.600000000000001" thickBot="1" x14ac:dyDescent="0.4">
      <c r="A41" s="7" t="s">
        <v>16</v>
      </c>
      <c r="B41" s="17" t="s">
        <v>17</v>
      </c>
      <c r="C41" s="15">
        <f>C36</f>
        <v>-2.8607</v>
      </c>
      <c r="D41" s="18" t="s">
        <v>18</v>
      </c>
      <c r="E41" s="16">
        <f>C35</f>
        <v>4.3906999999999998</v>
      </c>
      <c r="G41" s="2">
        <f t="shared" si="4"/>
        <v>1.8859999999999999</v>
      </c>
      <c r="H41" s="2">
        <f t="shared" si="5"/>
        <v>-2.069</v>
      </c>
      <c r="I41" s="1">
        <f t="shared" si="6"/>
        <v>-3.9021339999999998</v>
      </c>
      <c r="J41" s="1">
        <f t="shared" si="7"/>
        <v>3.5569959999999998</v>
      </c>
    </row>
    <row r="42" spans="1:15" x14ac:dyDescent="0.3">
      <c r="G42" s="2">
        <f t="shared" si="4"/>
        <v>2.2370000000000001</v>
      </c>
      <c r="H42" s="2">
        <f t="shared" si="5"/>
        <v>-1.9339999999999999</v>
      </c>
      <c r="I42" s="1">
        <f t="shared" si="6"/>
        <v>-4.3263579999999999</v>
      </c>
      <c r="J42" s="1">
        <f t="shared" si="7"/>
        <v>5.0041690000000001</v>
      </c>
    </row>
    <row r="43" spans="1:15" x14ac:dyDescent="0.3">
      <c r="G43" s="2">
        <f t="shared" si="4"/>
        <v>2.5880000000000001</v>
      </c>
      <c r="H43" s="2">
        <f t="shared" si="5"/>
        <v>-2.1139999999999999</v>
      </c>
      <c r="I43" s="1">
        <f t="shared" si="6"/>
        <v>-5.4710320000000001</v>
      </c>
      <c r="J43" s="1">
        <f t="shared" si="7"/>
        <v>6.6977440000000001</v>
      </c>
    </row>
    <row r="44" spans="1:15" x14ac:dyDescent="0.3">
      <c r="G44" s="2">
        <f t="shared" si="4"/>
        <v>2.9390000000000001</v>
      </c>
      <c r="H44" s="2">
        <f t="shared" si="5"/>
        <v>-1.925</v>
      </c>
      <c r="I44" s="1">
        <f t="shared" si="6"/>
        <v>-5.6575750000000005</v>
      </c>
      <c r="J44" s="1">
        <f t="shared" si="7"/>
        <v>8.6377210000000009</v>
      </c>
    </row>
    <row r="46" spans="1:15" x14ac:dyDescent="0.3">
      <c r="C46" s="10"/>
      <c r="D46" s="10"/>
      <c r="E46" s="10"/>
      <c r="F46" s="10"/>
      <c r="G46" s="10"/>
      <c r="H46" s="10"/>
      <c r="I46" s="10"/>
      <c r="J46" s="10"/>
    </row>
    <row r="51" spans="3:7" x14ac:dyDescent="0.3">
      <c r="C51" s="19" t="s">
        <v>0</v>
      </c>
      <c r="D51" s="19" t="s">
        <v>1</v>
      </c>
      <c r="E51" s="1" t="s">
        <v>10</v>
      </c>
      <c r="F51" s="1" t="s">
        <v>5</v>
      </c>
      <c r="G51" s="1" t="s">
        <v>6</v>
      </c>
    </row>
    <row r="52" spans="3:7" x14ac:dyDescent="0.3">
      <c r="C52" s="2">
        <v>0.13200000000000001</v>
      </c>
      <c r="D52" s="2">
        <v>6.5309999999999997</v>
      </c>
      <c r="E52" s="1">
        <f>PRODUCT(-2.8607,C52)+4.3907</f>
        <v>4.0130875999999995</v>
      </c>
      <c r="F52" s="1">
        <f>D52-E52</f>
        <v>2.5179124000000002</v>
      </c>
      <c r="G52" s="1">
        <f>F52*F52</f>
        <v>6.3398828540737604</v>
      </c>
    </row>
    <row r="53" spans="3:7" x14ac:dyDescent="0.3">
      <c r="C53" s="2">
        <v>0.48299999999999998</v>
      </c>
      <c r="D53" s="2">
        <v>5.625</v>
      </c>
      <c r="E53" s="1">
        <f t="shared" ref="E53:E60" si="8">PRODUCT(-2.8607,C53)+4.3907</f>
        <v>3.0089818999999998</v>
      </c>
      <c r="F53" s="1">
        <f t="shared" ref="F53:F60" si="9">D53-E53</f>
        <v>2.6160181000000002</v>
      </c>
      <c r="G53" s="1">
        <f t="shared" ref="G53:G60" si="10">F53*F53</f>
        <v>6.8435506995276114</v>
      </c>
    </row>
    <row r="54" spans="3:7" x14ac:dyDescent="0.3">
      <c r="C54" s="2">
        <v>0.83399999999999996</v>
      </c>
      <c r="D54" s="2">
        <v>-0.53400000000000003</v>
      </c>
      <c r="E54" s="1">
        <f t="shared" si="8"/>
        <v>2.0048762</v>
      </c>
      <c r="F54" s="1">
        <f t="shared" si="9"/>
        <v>-2.5388761999999998</v>
      </c>
      <c r="G54" s="1">
        <f t="shared" si="10"/>
        <v>6.4458923589264394</v>
      </c>
    </row>
    <row r="55" spans="3:7" x14ac:dyDescent="0.3">
      <c r="C55" s="2">
        <v>1.1850000000000001</v>
      </c>
      <c r="D55" s="2">
        <v>-1.694</v>
      </c>
      <c r="E55" s="1">
        <f t="shared" si="8"/>
        <v>1.0007704999999998</v>
      </c>
      <c r="F55" s="1">
        <f t="shared" si="9"/>
        <v>-2.6947704999999997</v>
      </c>
      <c r="G55" s="1">
        <f t="shared" si="10"/>
        <v>7.2617880476702483</v>
      </c>
    </row>
    <row r="56" spans="3:7" x14ac:dyDescent="0.3">
      <c r="C56" s="2">
        <v>1.5349999999999999</v>
      </c>
      <c r="D56" s="2">
        <v>-1.9019999999999999</v>
      </c>
      <c r="E56" s="1">
        <f t="shared" si="8"/>
        <v>-4.7450000000015535E-4</v>
      </c>
      <c r="F56" s="1">
        <f t="shared" si="9"/>
        <v>-1.9015254999999998</v>
      </c>
      <c r="G56" s="1">
        <f t="shared" si="10"/>
        <v>3.6157992271502493</v>
      </c>
    </row>
    <row r="57" spans="3:7" x14ac:dyDescent="0.3">
      <c r="C57" s="2">
        <v>1.8859999999999999</v>
      </c>
      <c r="D57" s="2">
        <v>-2.069</v>
      </c>
      <c r="E57" s="1">
        <f t="shared" si="8"/>
        <v>-1.0045802000000004</v>
      </c>
      <c r="F57" s="1">
        <f t="shared" si="9"/>
        <v>-1.0644197999999996</v>
      </c>
      <c r="G57" s="1">
        <f t="shared" si="10"/>
        <v>1.1329895106320391</v>
      </c>
    </row>
    <row r="58" spans="3:7" x14ac:dyDescent="0.3">
      <c r="C58" s="2">
        <v>2.2370000000000001</v>
      </c>
      <c r="D58" s="2">
        <v>-1.9339999999999999</v>
      </c>
      <c r="E58" s="1">
        <f t="shared" si="8"/>
        <v>-2.0086859000000006</v>
      </c>
      <c r="F58" s="1">
        <f t="shared" si="9"/>
        <v>7.4685900000000638E-2</v>
      </c>
      <c r="G58" s="1">
        <f t="shared" si="10"/>
        <v>5.5779836588100949E-3</v>
      </c>
    </row>
    <row r="59" spans="3:7" x14ac:dyDescent="0.3">
      <c r="C59" s="2">
        <v>2.5880000000000001</v>
      </c>
      <c r="D59" s="2">
        <v>-2.1139999999999999</v>
      </c>
      <c r="E59" s="1">
        <f t="shared" si="8"/>
        <v>-3.0127916000000008</v>
      </c>
      <c r="F59" s="6">
        <f t="shared" si="9"/>
        <v>0.89879160000000091</v>
      </c>
      <c r="G59" s="6">
        <f t="shared" si="10"/>
        <v>0.80782634023056166</v>
      </c>
    </row>
    <row r="60" spans="3:7" ht="15" thickBot="1" x14ac:dyDescent="0.35">
      <c r="C60" s="2">
        <v>2.9390000000000001</v>
      </c>
      <c r="D60" s="1">
        <v>-1.925</v>
      </c>
      <c r="E60" s="1">
        <f t="shared" si="8"/>
        <v>-4.016897300000001</v>
      </c>
      <c r="F60" s="6">
        <f t="shared" si="9"/>
        <v>2.0918973000000012</v>
      </c>
      <c r="G60" s="6">
        <f t="shared" si="10"/>
        <v>4.3760343137472946</v>
      </c>
    </row>
    <row r="61" spans="3:7" ht="15" thickBot="1" x14ac:dyDescent="0.35">
      <c r="F61" s="7" t="s">
        <v>4</v>
      </c>
      <c r="G61" s="8">
        <f>SUM(G52:G60)</f>
        <v>36.829341335617016</v>
      </c>
    </row>
    <row r="62" spans="3:7" ht="21.6" thickBot="1" x14ac:dyDescent="0.35">
      <c r="C62" s="11" t="s">
        <v>20</v>
      </c>
      <c r="D62" s="9">
        <f>SQRT(0.1*G61)</f>
        <v>1.9190972183716233</v>
      </c>
    </row>
  </sheetData>
  <mergeCells count="2">
    <mergeCell ref="K35:L35"/>
    <mergeCell ref="A32:B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Земляникин</dc:creator>
  <cp:lastModifiedBy>Владимир Земляникин</cp:lastModifiedBy>
  <dcterms:created xsi:type="dcterms:W3CDTF">2026-04-30T04:47:09Z</dcterms:created>
  <dcterms:modified xsi:type="dcterms:W3CDTF">2026-05-10T11:19:18Z</dcterms:modified>
</cp:coreProperties>
</file>