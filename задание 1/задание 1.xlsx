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mlv\Desktop\sgm\Курсовая\задание 1\"/>
    </mc:Choice>
  </mc:AlternateContent>
  <xr:revisionPtr revIDLastSave="0" documentId="13_ncr:1_{6DAD81C6-D61D-4008-8A36-0C0CBA75A6AB}" xr6:coauthVersionLast="47" xr6:coauthVersionMax="47" xr10:uidLastSave="{00000000-0000-0000-0000-000000000000}"/>
  <bookViews>
    <workbookView xWindow="-96" yWindow="0" windowWidth="11712" windowHeight="12336" xr2:uid="{8AE0CAC0-9A32-4D52-8C57-38952320A0F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20" i="1" l="1"/>
  <c r="Q20" i="1"/>
  <c r="P20" i="1"/>
  <c r="R19" i="1"/>
  <c r="Q19" i="1"/>
  <c r="P19" i="1"/>
  <c r="R15" i="1"/>
  <c r="Q16" i="1"/>
  <c r="P17" i="1"/>
  <c r="P8" i="1"/>
  <c r="Q4" i="1"/>
  <c r="T5" i="1" s="1"/>
  <c r="P9" i="1"/>
  <c r="P10" i="1"/>
  <c r="P11" i="1"/>
  <c r="P12" i="1"/>
  <c r="Q11" i="1" s="1"/>
  <c r="P13" i="1"/>
  <c r="P14" i="1"/>
  <c r="P15" i="1"/>
  <c r="P16" i="1"/>
  <c r="E36" i="1"/>
  <c r="E37" i="1" s="1"/>
  <c r="H13" i="1"/>
  <c r="H14" i="1"/>
  <c r="H15" i="1"/>
  <c r="H16" i="1"/>
  <c r="H12" i="1"/>
  <c r="I12" i="1" s="1"/>
  <c r="J12" i="1" s="1"/>
  <c r="G17" i="1"/>
  <c r="F17" i="1"/>
  <c r="E17" i="1"/>
  <c r="D17" i="1"/>
  <c r="C17" i="1"/>
  <c r="I17" i="1" s="1"/>
  <c r="J17" i="1" s="1"/>
  <c r="B17" i="1"/>
  <c r="G13" i="1"/>
  <c r="G14" i="1"/>
  <c r="G15" i="1"/>
  <c r="G12" i="1"/>
  <c r="F13" i="1"/>
  <c r="F14" i="1"/>
  <c r="F16" i="1"/>
  <c r="F12" i="1"/>
  <c r="E13" i="1"/>
  <c r="E15" i="1"/>
  <c r="E16" i="1"/>
  <c r="E12" i="1"/>
  <c r="D14" i="1"/>
  <c r="D15" i="1"/>
  <c r="D16" i="1"/>
  <c r="I16" i="1" s="1"/>
  <c r="J16" i="1" s="1"/>
  <c r="D12" i="1"/>
  <c r="C13" i="1"/>
  <c r="I13" i="1" s="1"/>
  <c r="J13" i="1" s="1"/>
  <c r="C14" i="1"/>
  <c r="C15" i="1"/>
  <c r="I15" i="1" s="1"/>
  <c r="J15" i="1" s="1"/>
  <c r="C16" i="1"/>
  <c r="B13" i="1"/>
  <c r="B14" i="1"/>
  <c r="B15" i="1"/>
  <c r="B19" i="1" s="1"/>
  <c r="B16" i="1"/>
  <c r="B12" i="1"/>
  <c r="Q15" i="1" l="1"/>
  <c r="Q13" i="1"/>
  <c r="Q8" i="1"/>
  <c r="T4" i="1"/>
  <c r="Q12" i="1"/>
  <c r="R11" i="1" s="1"/>
  <c r="Q10" i="1"/>
  <c r="R10" i="1" s="1"/>
  <c r="Q14" i="1"/>
  <c r="R13" i="1" s="1"/>
  <c r="Q9" i="1"/>
  <c r="D31" i="1"/>
  <c r="F31" i="1" s="1"/>
  <c r="G31" i="1" s="1"/>
  <c r="D33" i="1"/>
  <c r="F33" i="1" s="1"/>
  <c r="G33" i="1" s="1"/>
  <c r="D30" i="1"/>
  <c r="F30" i="1" s="1"/>
  <c r="G30" i="1" s="1"/>
  <c r="D34" i="1"/>
  <c r="F34" i="1" s="1"/>
  <c r="G34" i="1" s="1"/>
  <c r="D29" i="1"/>
  <c r="D32" i="1"/>
  <c r="F32" i="1" s="1"/>
  <c r="G32" i="1" s="1"/>
  <c r="I14" i="1"/>
  <c r="J14" i="1" s="1"/>
  <c r="B21" i="1"/>
  <c r="E19" i="1"/>
  <c r="R9" i="1" l="1"/>
  <c r="R8" i="1"/>
  <c r="R12" i="1"/>
  <c r="R14" i="1"/>
  <c r="F29" i="1"/>
  <c r="G29" i="1" s="1"/>
  <c r="E39" i="1" s="1"/>
  <c r="B39" i="1"/>
  <c r="O23" i="1" l="1"/>
  <c r="B41" i="1"/>
</calcChain>
</file>

<file path=xl/sharedStrings.xml><?xml version="1.0" encoding="utf-8"?>
<sst xmlns="http://schemas.openxmlformats.org/spreadsheetml/2006/main" count="53" uniqueCount="43">
  <si>
    <t>x</t>
  </si>
  <si>
    <t>y</t>
  </si>
  <si>
    <t xml:space="preserve">x   = </t>
  </si>
  <si>
    <t>i</t>
  </si>
  <si>
    <t>x - xi</t>
  </si>
  <si>
    <t>xi - x0</t>
  </si>
  <si>
    <t>xi - x1</t>
  </si>
  <si>
    <t>xi - x2</t>
  </si>
  <si>
    <t>xi - x3</t>
  </si>
  <si>
    <t>xi - x4</t>
  </si>
  <si>
    <t>xi - x5</t>
  </si>
  <si>
    <t>Di</t>
  </si>
  <si>
    <t>yi/Di</t>
  </si>
  <si>
    <t>Разности</t>
  </si>
  <si>
    <t>П   =</t>
  </si>
  <si>
    <t>сумма yi/Di</t>
  </si>
  <si>
    <t xml:space="preserve">f   = </t>
  </si>
  <si>
    <t>пункт 1 а -1</t>
  </si>
  <si>
    <t>пункт 1 а -2</t>
  </si>
  <si>
    <t>t - i</t>
  </si>
  <si>
    <t>Ci</t>
  </si>
  <si>
    <t>(t - i) Ci</t>
  </si>
  <si>
    <t>yi/((t - i)Ci)</t>
  </si>
  <si>
    <t xml:space="preserve">t = </t>
  </si>
  <si>
    <t xml:space="preserve">h = </t>
  </si>
  <si>
    <t>сумма   yi/((t - i)Ci)</t>
  </si>
  <si>
    <t xml:space="preserve">x1 = </t>
  </si>
  <si>
    <t xml:space="preserve">x2 = </t>
  </si>
  <si>
    <t>пункт 1 б</t>
  </si>
  <si>
    <r>
      <t>x</t>
    </r>
    <r>
      <rPr>
        <i/>
        <sz val="8"/>
        <color theme="1"/>
        <rFont val="Times New Roman"/>
        <family val="1"/>
      </rPr>
      <t>i</t>
    </r>
  </si>
  <si>
    <r>
      <t>y</t>
    </r>
    <r>
      <rPr>
        <i/>
        <sz val="8"/>
        <color theme="1"/>
        <rFont val="Times New Roman"/>
        <family val="1"/>
      </rPr>
      <t>i</t>
    </r>
  </si>
  <si>
    <r>
      <t>∆^</t>
    </r>
    <r>
      <rPr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charset val="204"/>
        <scheme val="minor"/>
      </rPr>
      <t>y</t>
    </r>
    <r>
      <rPr>
        <sz val="8"/>
        <color theme="1"/>
        <rFont val="Aptos Narrow"/>
        <family val="2"/>
        <scheme val="minor"/>
      </rPr>
      <t>i</t>
    </r>
  </si>
  <si>
    <r>
      <t>∆y</t>
    </r>
    <r>
      <rPr>
        <sz val="8"/>
        <color theme="1"/>
        <rFont val="Aptos Narrow"/>
        <family val="2"/>
      </rPr>
      <t>i</t>
    </r>
  </si>
  <si>
    <t>-</t>
  </si>
  <si>
    <t xml:space="preserve">q1 = </t>
  </si>
  <si>
    <t xml:space="preserve">q2 = </t>
  </si>
  <si>
    <r>
      <t>∆^3y</t>
    </r>
    <r>
      <rPr>
        <sz val="8"/>
        <color theme="1"/>
        <rFont val="Aptos Narrow"/>
        <family val="2"/>
        <scheme val="minor"/>
      </rPr>
      <t>i</t>
    </r>
  </si>
  <si>
    <t>∑</t>
  </si>
  <si>
    <t>P</t>
  </si>
  <si>
    <t>&lt;- Лучше посчитать самостоятельно</t>
  </si>
  <si>
    <t>f(x)  ≈</t>
  </si>
  <si>
    <t xml:space="preserve"> (для q2)</t>
  </si>
  <si>
    <t>(читать README.md)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</si>
</sst>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9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i/>
      <sz val="12"/>
      <color theme="1"/>
      <name val="Times New Roman"/>
      <family val="1"/>
    </font>
    <font>
      <i/>
      <sz val="8"/>
      <color theme="1"/>
      <name val="Times New Roman"/>
      <family val="1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right" vertical="center"/>
    </xf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6" xfId="0" applyBorder="1"/>
    <xf numFmtId="0" fontId="0" fillId="2" borderId="1" xfId="0" applyFill="1" applyBorder="1"/>
    <xf numFmtId="0" fontId="0" fillId="3" borderId="4" xfId="0" applyFill="1" applyBorder="1"/>
    <xf numFmtId="0" fontId="0" fillId="0" borderId="8" xfId="0" applyBorder="1" applyAlignment="1">
      <alignment horizontal="center" vertical="center"/>
    </xf>
    <xf numFmtId="0" fontId="0" fillId="0" borderId="8" xfId="0" applyBorder="1"/>
    <xf numFmtId="0" fontId="0" fillId="0" borderId="9" xfId="0" applyBorder="1" applyAlignment="1">
      <alignment horizontal="center" vertical="center"/>
    </xf>
    <xf numFmtId="0" fontId="0" fillId="2" borderId="10" xfId="0" applyFill="1" applyBorder="1"/>
    <xf numFmtId="0" fontId="0" fillId="0" borderId="10" xfId="0" applyBorder="1"/>
    <xf numFmtId="0" fontId="0" fillId="0" borderId="11" xfId="0" applyBorder="1"/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16" xfId="0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right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/>
    <xf numFmtId="164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8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164" fontId="1" fillId="0" borderId="19" xfId="0" applyNumberFormat="1" applyFont="1" applyBorder="1" applyAlignment="1">
      <alignment horizontal="center" vertical="center" wrapText="1"/>
    </xf>
    <xf numFmtId="164" fontId="0" fillId="0" borderId="19" xfId="0" applyNumberForma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7F3CE-8403-4777-BCC8-D73533C2C98F}">
  <dimension ref="A1:V45"/>
  <sheetViews>
    <sheetView tabSelected="1" topLeftCell="J1" workbookViewId="0">
      <selection activeCell="O19" sqref="O19:Q20"/>
    </sheetView>
  </sheetViews>
  <sheetFormatPr defaultRowHeight="14.4" x14ac:dyDescent="0.3"/>
  <cols>
    <col min="2" max="2" width="12" bestFit="1" customWidth="1"/>
    <col min="4" max="4" width="10.44140625" customWidth="1"/>
    <col min="9" max="9" width="10.33203125" customWidth="1"/>
    <col min="15" max="18" width="9.21875" bestFit="1" customWidth="1"/>
  </cols>
  <sheetData>
    <row r="1" spans="1:22" x14ac:dyDescent="0.3">
      <c r="A1" s="9" t="s">
        <v>0</v>
      </c>
      <c r="B1" s="9" t="s">
        <v>1</v>
      </c>
      <c r="L1" s="8"/>
    </row>
    <row r="2" spans="1:22" ht="15" thickBot="1" x14ac:dyDescent="0.35">
      <c r="A2" s="1">
        <v>0.02</v>
      </c>
      <c r="B2" s="1">
        <v>1.0231600000000001</v>
      </c>
      <c r="D2" s="10" t="s">
        <v>17</v>
      </c>
      <c r="L2" s="8"/>
      <c r="N2" s="10" t="s">
        <v>28</v>
      </c>
    </row>
    <row r="3" spans="1:22" ht="15" thickTop="1" x14ac:dyDescent="0.3">
      <c r="A3" s="1">
        <v>0.08</v>
      </c>
      <c r="B3" s="1">
        <v>1.0959000000000001</v>
      </c>
      <c r="L3" s="8"/>
    </row>
    <row r="4" spans="1:22" x14ac:dyDescent="0.3">
      <c r="A4" s="1">
        <v>0.12</v>
      </c>
      <c r="B4" s="1">
        <v>1.1472500000000001</v>
      </c>
      <c r="L4" s="8"/>
      <c r="N4" s="25" t="s">
        <v>26</v>
      </c>
      <c r="O4" s="1">
        <v>0.1827</v>
      </c>
      <c r="P4" s="17" t="s">
        <v>24</v>
      </c>
      <c r="Q4" s="18">
        <f>N9-N8</f>
        <v>5.0000000000000044E-3</v>
      </c>
      <c r="S4" s="17" t="s">
        <v>34</v>
      </c>
      <c r="T4" s="18">
        <f>(O4-N10)/Q4</f>
        <v>-1.4599999999999989</v>
      </c>
      <c r="U4" s="32" t="s">
        <v>39</v>
      </c>
      <c r="V4" s="33"/>
    </row>
    <row r="5" spans="1:22" x14ac:dyDescent="0.3">
      <c r="A5" s="1">
        <v>0.17</v>
      </c>
      <c r="B5" s="1">
        <v>1.2148300000000001</v>
      </c>
      <c r="L5" s="8"/>
      <c r="N5" s="25" t="s">
        <v>27</v>
      </c>
      <c r="O5" s="1">
        <v>0.22420000000000001</v>
      </c>
      <c r="S5" s="17" t="s">
        <v>35</v>
      </c>
      <c r="T5" s="18">
        <f>(O5-N8)/Q4</f>
        <v>8.8399999999999963</v>
      </c>
      <c r="U5" s="32"/>
      <c r="V5" s="33"/>
    </row>
    <row r="6" spans="1:22" x14ac:dyDescent="0.3">
      <c r="A6" s="1">
        <v>0.23</v>
      </c>
      <c r="B6" s="1">
        <v>1.3011999999999999</v>
      </c>
      <c r="L6" s="8"/>
      <c r="U6" s="34" t="s">
        <v>42</v>
      </c>
      <c r="V6" s="34"/>
    </row>
    <row r="7" spans="1:22" ht="15.6" x14ac:dyDescent="0.3">
      <c r="A7" s="1">
        <v>0.3</v>
      </c>
      <c r="B7" s="1">
        <v>1.4097599999999999</v>
      </c>
      <c r="D7" s="19" t="s">
        <v>2</v>
      </c>
      <c r="E7" s="20">
        <v>0.125</v>
      </c>
      <c r="L7" s="8"/>
      <c r="N7" s="23" t="s">
        <v>29</v>
      </c>
      <c r="O7" s="24" t="s">
        <v>30</v>
      </c>
      <c r="P7" s="27" t="s">
        <v>32</v>
      </c>
      <c r="Q7" s="1" t="s">
        <v>31</v>
      </c>
      <c r="R7" s="1" t="s">
        <v>36</v>
      </c>
    </row>
    <row r="8" spans="1:22" x14ac:dyDescent="0.3">
      <c r="L8" s="8"/>
      <c r="N8" s="26">
        <v>0.18</v>
      </c>
      <c r="O8" s="30">
        <v>5.6154299999999999</v>
      </c>
      <c r="P8" s="28">
        <f>O9-O8</f>
        <v>-0.1485000000000003</v>
      </c>
      <c r="Q8" s="29">
        <f>P9-P8</f>
        <v>7.9100000000007498E-3</v>
      </c>
      <c r="R8" s="29">
        <f t="shared" ref="Q8:R15" si="0">Q9-Q8</f>
        <v>-6.2000000000139721E-4</v>
      </c>
    </row>
    <row r="9" spans="1:22" ht="16.2" customHeight="1" thickBot="1" x14ac:dyDescent="0.35">
      <c r="L9" s="8"/>
      <c r="N9" s="26">
        <v>0.185</v>
      </c>
      <c r="O9" s="30">
        <v>5.4669299999999996</v>
      </c>
      <c r="P9" s="28">
        <f t="shared" ref="P9:P17" si="1">O10-O9</f>
        <v>-0.14058999999999955</v>
      </c>
      <c r="Q9" s="29">
        <f t="shared" si="0"/>
        <v>7.2899999999993526E-3</v>
      </c>
      <c r="R9" s="29">
        <f t="shared" si="0"/>
        <v>-5.3999999999909676E-4</v>
      </c>
    </row>
    <row r="10" spans="1:22" x14ac:dyDescent="0.3">
      <c r="A10" s="36" t="s">
        <v>3</v>
      </c>
      <c r="B10" s="38" t="s">
        <v>13</v>
      </c>
      <c r="C10" s="38"/>
      <c r="D10" s="38"/>
      <c r="E10" s="38"/>
      <c r="F10" s="38"/>
      <c r="G10" s="38"/>
      <c r="H10" s="38"/>
      <c r="I10" s="39" t="s">
        <v>11</v>
      </c>
      <c r="J10" s="41" t="s">
        <v>12</v>
      </c>
      <c r="L10" s="8"/>
      <c r="N10" s="26">
        <v>0.19</v>
      </c>
      <c r="O10" s="30">
        <v>5.3263400000000001</v>
      </c>
      <c r="P10" s="28">
        <f t="shared" si="1"/>
        <v>-0.1333000000000002</v>
      </c>
      <c r="Q10" s="29">
        <f t="shared" si="0"/>
        <v>6.7500000000002558E-3</v>
      </c>
      <c r="R10" s="29">
        <f t="shared" si="0"/>
        <v>-5.0000000000061107E-4</v>
      </c>
    </row>
    <row r="11" spans="1:22" ht="15" thickBot="1" x14ac:dyDescent="0.35">
      <c r="A11" s="37"/>
      <c r="B11" s="22" t="s">
        <v>4</v>
      </c>
      <c r="C11" s="22" t="s">
        <v>5</v>
      </c>
      <c r="D11" s="22" t="s">
        <v>6</v>
      </c>
      <c r="E11" s="22" t="s">
        <v>7</v>
      </c>
      <c r="F11" s="22" t="s">
        <v>8</v>
      </c>
      <c r="G11" s="22" t="s">
        <v>9</v>
      </c>
      <c r="H11" s="22" t="s">
        <v>10</v>
      </c>
      <c r="I11" s="40"/>
      <c r="J11" s="42"/>
      <c r="L11" s="8"/>
      <c r="N11" s="26">
        <v>0.19500000000000001</v>
      </c>
      <c r="O11" s="30">
        <v>5.1930399999999999</v>
      </c>
      <c r="P11" s="28">
        <f t="shared" si="1"/>
        <v>-0.12654999999999994</v>
      </c>
      <c r="Q11" s="29">
        <f t="shared" si="0"/>
        <v>6.2499999999996447E-3</v>
      </c>
      <c r="R11" s="29">
        <f t="shared" si="0"/>
        <v>-4.3999999999932982E-4</v>
      </c>
    </row>
    <row r="12" spans="1:22" x14ac:dyDescent="0.3">
      <c r="A12" s="21">
        <v>0</v>
      </c>
      <c r="B12" s="12">
        <f t="shared" ref="B12:B17" si="2">$E$7-A2</f>
        <v>0.105</v>
      </c>
      <c r="C12" s="12">
        <v>1</v>
      </c>
      <c r="D12" s="12">
        <f>A2-$A$3</f>
        <v>-0.06</v>
      </c>
      <c r="E12" s="12">
        <f>A2-$A$4</f>
        <v>-9.9999999999999992E-2</v>
      </c>
      <c r="F12" s="12">
        <f>A2-$A$5</f>
        <v>-0.15000000000000002</v>
      </c>
      <c r="G12" s="12">
        <f>A2-$A$6</f>
        <v>-0.21000000000000002</v>
      </c>
      <c r="H12" s="12">
        <f>A2-$A$7</f>
        <v>-0.27999999999999997</v>
      </c>
      <c r="I12" s="12">
        <f>PRODUCT(C12:H12)</f>
        <v>-5.2920000000000002E-5</v>
      </c>
      <c r="J12" s="12">
        <f>B2/I12</f>
        <v>-19334.089191232048</v>
      </c>
      <c r="L12" s="8"/>
      <c r="N12" s="26">
        <v>0.2</v>
      </c>
      <c r="O12" s="30">
        <v>5.0664899999999999</v>
      </c>
      <c r="P12" s="28">
        <f t="shared" si="1"/>
        <v>-0.1203000000000003</v>
      </c>
      <c r="Q12" s="29">
        <f t="shared" si="0"/>
        <v>5.8100000000003149E-3</v>
      </c>
      <c r="R12" s="29">
        <f t="shared" si="0"/>
        <v>-4.0999999999957737E-4</v>
      </c>
    </row>
    <row r="13" spans="1:22" x14ac:dyDescent="0.3">
      <c r="A13" s="3">
        <v>1</v>
      </c>
      <c r="B13" s="1">
        <f t="shared" si="2"/>
        <v>4.4999999999999998E-2</v>
      </c>
      <c r="C13" s="1">
        <f t="shared" ref="C13:C17" si="3">A3-$A$2</f>
        <v>0.06</v>
      </c>
      <c r="D13" s="1">
        <v>1</v>
      </c>
      <c r="E13" s="1">
        <f t="shared" ref="E13:E17" si="4">A3-$A$4</f>
        <v>-3.9999999999999994E-2</v>
      </c>
      <c r="F13" s="1">
        <f t="shared" ref="F13:F17" si="5">A3-$A$5</f>
        <v>-9.0000000000000011E-2</v>
      </c>
      <c r="G13" s="1">
        <f t="shared" ref="G13:G17" si="6">A3-$A$6</f>
        <v>-0.15000000000000002</v>
      </c>
      <c r="H13" s="1">
        <f t="shared" ref="H13:H16" si="7">A3-$A$7</f>
        <v>-0.21999999999999997</v>
      </c>
      <c r="I13" s="1">
        <f t="shared" ref="I13:I17" si="8">PRODUCT(C13:H13)</f>
        <v>7.1279999999999993E-6</v>
      </c>
      <c r="J13" s="1">
        <f t="shared" ref="J13:J17" si="9">B3/I13</f>
        <v>153745.79124579128</v>
      </c>
      <c r="L13" s="8"/>
      <c r="N13" s="26">
        <v>0.20499999999999999</v>
      </c>
      <c r="O13" s="30">
        <v>4.9461899999999996</v>
      </c>
      <c r="P13" s="28">
        <f t="shared" si="1"/>
        <v>-0.11448999999999998</v>
      </c>
      <c r="Q13" s="29">
        <f t="shared" si="0"/>
        <v>5.4000000000007375E-3</v>
      </c>
      <c r="R13" s="29">
        <f t="shared" si="0"/>
        <v>-3.7000000000197986E-4</v>
      </c>
    </row>
    <row r="14" spans="1:22" ht="13.8" customHeight="1" x14ac:dyDescent="0.3">
      <c r="A14" s="3">
        <v>2</v>
      </c>
      <c r="B14" s="1">
        <f t="shared" si="2"/>
        <v>5.0000000000000044E-3</v>
      </c>
      <c r="C14" s="1">
        <f t="shared" si="3"/>
        <v>9.9999999999999992E-2</v>
      </c>
      <c r="D14" s="1">
        <f t="shared" ref="D14:D17" si="10">A4-$A$3</f>
        <v>3.9999999999999994E-2</v>
      </c>
      <c r="E14" s="1">
        <v>1</v>
      </c>
      <c r="F14" s="1">
        <f t="shared" si="5"/>
        <v>-5.0000000000000017E-2</v>
      </c>
      <c r="G14" s="1">
        <f t="shared" si="6"/>
        <v>-0.11000000000000001</v>
      </c>
      <c r="H14" s="1">
        <f t="shared" si="7"/>
        <v>-0.18</v>
      </c>
      <c r="I14" s="1">
        <f t="shared" si="8"/>
        <v>-3.960000000000001E-6</v>
      </c>
      <c r="J14" s="1">
        <f t="shared" si="9"/>
        <v>-289709.59595959593</v>
      </c>
      <c r="L14" s="8"/>
      <c r="N14" s="26">
        <v>0.21</v>
      </c>
      <c r="O14" s="30">
        <v>4.8316999999999997</v>
      </c>
      <c r="P14" s="28">
        <f t="shared" si="1"/>
        <v>-0.10908999999999924</v>
      </c>
      <c r="Q14" s="29">
        <f t="shared" si="0"/>
        <v>5.0299999999987577E-3</v>
      </c>
      <c r="R14" s="29">
        <f t="shared" si="0"/>
        <v>-3.2999999999816509E-4</v>
      </c>
    </row>
    <row r="15" spans="1:22" x14ac:dyDescent="0.3">
      <c r="A15" s="3">
        <v>3</v>
      </c>
      <c r="B15" s="1">
        <f t="shared" si="2"/>
        <v>-4.5000000000000012E-2</v>
      </c>
      <c r="C15" s="1">
        <f t="shared" si="3"/>
        <v>0.15000000000000002</v>
      </c>
      <c r="D15" s="1">
        <f t="shared" si="10"/>
        <v>9.0000000000000011E-2</v>
      </c>
      <c r="E15" s="1">
        <f t="shared" si="4"/>
        <v>5.0000000000000017E-2</v>
      </c>
      <c r="F15" s="1">
        <v>1</v>
      </c>
      <c r="G15" s="1">
        <f t="shared" si="6"/>
        <v>-0.06</v>
      </c>
      <c r="H15" s="1">
        <f t="shared" si="7"/>
        <v>-0.12999999999999998</v>
      </c>
      <c r="I15" s="1">
        <f t="shared" si="8"/>
        <v>5.2650000000000021E-6</v>
      </c>
      <c r="J15" s="1">
        <f t="shared" si="9"/>
        <v>230736.94207027531</v>
      </c>
      <c r="L15" s="8"/>
      <c r="N15" s="26">
        <v>0.215</v>
      </c>
      <c r="O15" s="30">
        <v>4.7226100000000004</v>
      </c>
      <c r="P15" s="28">
        <f t="shared" si="1"/>
        <v>-0.10406000000000049</v>
      </c>
      <c r="Q15" s="29">
        <f>P16-P15</f>
        <v>4.7000000000005926E-3</v>
      </c>
      <c r="R15" s="29">
        <f t="shared" si="0"/>
        <v>-3.1000000000069861E-4</v>
      </c>
    </row>
    <row r="16" spans="1:22" x14ac:dyDescent="0.3">
      <c r="A16" s="3">
        <v>4</v>
      </c>
      <c r="B16" s="1">
        <f t="shared" si="2"/>
        <v>-0.10500000000000001</v>
      </c>
      <c r="C16" s="1">
        <f t="shared" si="3"/>
        <v>0.21000000000000002</v>
      </c>
      <c r="D16" s="1">
        <f t="shared" si="10"/>
        <v>0.15000000000000002</v>
      </c>
      <c r="E16" s="1">
        <f t="shared" si="4"/>
        <v>0.11000000000000001</v>
      </c>
      <c r="F16" s="1">
        <f t="shared" si="5"/>
        <v>0.06</v>
      </c>
      <c r="G16" s="1">
        <v>1</v>
      </c>
      <c r="H16" s="1">
        <f t="shared" si="7"/>
        <v>-6.9999999999999979E-2</v>
      </c>
      <c r="I16" s="1">
        <f t="shared" si="8"/>
        <v>-1.4552999999999999E-5</v>
      </c>
      <c r="J16" s="1">
        <f t="shared" si="9"/>
        <v>-89411.117982546552</v>
      </c>
      <c r="L16" s="8"/>
      <c r="N16" s="26">
        <v>0.22</v>
      </c>
      <c r="O16" s="30">
        <v>4.6185499999999999</v>
      </c>
      <c r="P16" s="28">
        <f t="shared" si="1"/>
        <v>-9.9359999999999893E-2</v>
      </c>
      <c r="Q16" s="29">
        <f>P17-P16</f>
        <v>4.389999999999894E-3</v>
      </c>
      <c r="R16" s="28"/>
    </row>
    <row r="17" spans="1:18" x14ac:dyDescent="0.3">
      <c r="A17" s="3">
        <v>5</v>
      </c>
      <c r="B17" s="1">
        <f t="shared" si="2"/>
        <v>-0.17499999999999999</v>
      </c>
      <c r="C17" s="1">
        <f t="shared" si="3"/>
        <v>0.27999999999999997</v>
      </c>
      <c r="D17" s="1">
        <f t="shared" si="10"/>
        <v>0.21999999999999997</v>
      </c>
      <c r="E17" s="1">
        <f t="shared" si="4"/>
        <v>0.18</v>
      </c>
      <c r="F17" s="1">
        <f t="shared" si="5"/>
        <v>0.12999999999999998</v>
      </c>
      <c r="G17" s="1">
        <f t="shared" si="6"/>
        <v>6.9999999999999979E-2</v>
      </c>
      <c r="H17" s="1">
        <v>1</v>
      </c>
      <c r="I17" s="1">
        <f t="shared" si="8"/>
        <v>1.0090079999999992E-4</v>
      </c>
      <c r="J17" s="1">
        <f t="shared" si="9"/>
        <v>13971.742543171125</v>
      </c>
      <c r="L17" s="8"/>
      <c r="N17" s="43">
        <v>0.22500000000000001</v>
      </c>
      <c r="O17" s="44">
        <v>4.51919</v>
      </c>
      <c r="P17" s="28">
        <f>O18-O17</f>
        <v>-9.4969999999999999E-2</v>
      </c>
      <c r="Q17" s="45"/>
      <c r="R17" s="45"/>
    </row>
    <row r="18" spans="1:18" x14ac:dyDescent="0.3">
      <c r="L18" s="8"/>
      <c r="N18" s="46">
        <v>0.23</v>
      </c>
      <c r="O18" s="47">
        <v>4.42422</v>
      </c>
      <c r="P18" s="1"/>
      <c r="Q18" s="1"/>
      <c r="R18" s="1"/>
    </row>
    <row r="19" spans="1:18" x14ac:dyDescent="0.3">
      <c r="A19" s="17" t="s">
        <v>14</v>
      </c>
      <c r="B19" s="1">
        <f>PRODUCT(B12:B17)</f>
        <v>-1.9534921875000024E-8</v>
      </c>
      <c r="D19" s="1" t="s">
        <v>15</v>
      </c>
      <c r="E19" s="1">
        <f>SUM(J12:J17)</f>
        <v>-0.32727413681823236</v>
      </c>
      <c r="L19" s="8"/>
      <c r="N19" s="48" t="s">
        <v>37</v>
      </c>
      <c r="O19" s="28" t="s">
        <v>33</v>
      </c>
      <c r="P19" s="28">
        <f>SUM(P8:P17)</f>
        <v>-1.1912099999999999</v>
      </c>
      <c r="Q19" s="28">
        <f>SUM(Q8:Q16)</f>
        <v>5.35300000000003E-2</v>
      </c>
      <c r="R19" s="28">
        <f>SUM(R8:R16)</f>
        <v>-3.5200000000008558E-3</v>
      </c>
    </row>
    <row r="20" spans="1:18" ht="15" thickBot="1" x14ac:dyDescent="0.35">
      <c r="L20" s="8"/>
      <c r="N20" s="2" t="s">
        <v>38</v>
      </c>
      <c r="O20" s="29">
        <f>O18-O8</f>
        <v>-1.1912099999999999</v>
      </c>
      <c r="P20" s="29">
        <f>P17-P8</f>
        <v>5.35300000000003E-2</v>
      </c>
      <c r="Q20" s="29">
        <f>Q16-Q8</f>
        <v>-3.5200000000008558E-3</v>
      </c>
      <c r="R20" s="28" t="s">
        <v>33</v>
      </c>
    </row>
    <row r="21" spans="1:18" ht="15" thickBot="1" x14ac:dyDescent="0.35">
      <c r="A21" s="4" t="s">
        <v>16</v>
      </c>
      <c r="B21" s="5">
        <f>B19*SUM(J12:J17)</f>
        <v>6.3932746944522382E-9</v>
      </c>
      <c r="L21" s="8"/>
    </row>
    <row r="22" spans="1:18" ht="15" thickBot="1" x14ac:dyDescent="0.3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7"/>
    </row>
    <row r="23" spans="1:18" ht="15" thickBot="1" x14ac:dyDescent="0.35">
      <c r="L23" s="8"/>
      <c r="N23" s="4" t="s">
        <v>40</v>
      </c>
      <c r="O23" s="5">
        <f>O8+T5*P8+(O8*(T5-1)/2)*Q8+(T5*(T5-1)*(T5-2)/6)*R8</f>
        <v>4.4278235630159042</v>
      </c>
      <c r="P23" t="s">
        <v>41</v>
      </c>
      <c r="Q23" s="33" t="s">
        <v>39</v>
      </c>
      <c r="R23" s="33"/>
    </row>
    <row r="24" spans="1:18" ht="15" thickBot="1" x14ac:dyDescent="0.35">
      <c r="D24" s="10" t="s">
        <v>18</v>
      </c>
      <c r="L24" s="8"/>
      <c r="Q24" s="33"/>
      <c r="R24" s="33"/>
    </row>
    <row r="25" spans="1:18" ht="15" thickTop="1" x14ac:dyDescent="0.3">
      <c r="L25" s="8"/>
      <c r="Q25" s="31" t="s">
        <v>42</v>
      </c>
      <c r="R25" s="31"/>
    </row>
    <row r="26" spans="1:18" x14ac:dyDescent="0.3">
      <c r="L26" s="8"/>
    </row>
    <row r="27" spans="1:18" ht="15" thickBot="1" x14ac:dyDescent="0.35">
      <c r="L27" s="8"/>
    </row>
    <row r="28" spans="1:18" ht="15" thickBot="1" x14ac:dyDescent="0.35">
      <c r="A28" s="13" t="s">
        <v>3</v>
      </c>
      <c r="B28" s="14" t="s">
        <v>0</v>
      </c>
      <c r="C28" s="14" t="s">
        <v>1</v>
      </c>
      <c r="D28" s="15" t="s">
        <v>19</v>
      </c>
      <c r="E28" s="15" t="s">
        <v>20</v>
      </c>
      <c r="F28" s="15" t="s">
        <v>21</v>
      </c>
      <c r="G28" s="16" t="s">
        <v>22</v>
      </c>
      <c r="L28" s="8"/>
    </row>
    <row r="29" spans="1:18" x14ac:dyDescent="0.3">
      <c r="A29" s="11">
        <v>0</v>
      </c>
      <c r="B29" s="12">
        <v>0.115</v>
      </c>
      <c r="C29" s="12">
        <v>8.6572899999999997</v>
      </c>
      <c r="D29" s="12">
        <f t="shared" ref="D29:D34" si="11">$E$37-A29</f>
        <v>1.6400000000000028</v>
      </c>
      <c r="E29" s="12">
        <v>-120</v>
      </c>
      <c r="F29" s="12">
        <f>D29*E29</f>
        <v>-196.80000000000032</v>
      </c>
      <c r="G29" s="12">
        <f>C29/F29</f>
        <v>-4.3990294715447083E-2</v>
      </c>
      <c r="L29" s="8"/>
    </row>
    <row r="30" spans="1:18" x14ac:dyDescent="0.3">
      <c r="A30" s="2">
        <v>1</v>
      </c>
      <c r="B30" s="1">
        <v>0.12</v>
      </c>
      <c r="C30" s="1">
        <v>8.2932900000000007</v>
      </c>
      <c r="D30" s="1">
        <f t="shared" si="11"/>
        <v>0.64000000000000279</v>
      </c>
      <c r="E30" s="1">
        <v>24</v>
      </c>
      <c r="F30" s="1">
        <f t="shared" ref="F30:F34" si="12">D30*E30</f>
        <v>15.360000000000067</v>
      </c>
      <c r="G30" s="1">
        <f t="shared" ref="G30:G33" si="13">C30/F30</f>
        <v>0.53992773437499775</v>
      </c>
      <c r="L30" s="8"/>
    </row>
    <row r="31" spans="1:18" x14ac:dyDescent="0.3">
      <c r="A31" s="2">
        <v>2</v>
      </c>
      <c r="B31" s="1">
        <v>0.125</v>
      </c>
      <c r="C31" s="1">
        <v>7.9582899999999999</v>
      </c>
      <c r="D31" s="1">
        <f t="shared" si="11"/>
        <v>-0.35999999999999721</v>
      </c>
      <c r="E31" s="1">
        <v>-12</v>
      </c>
      <c r="F31" s="1">
        <f t="shared" si="12"/>
        <v>4.3199999999999665</v>
      </c>
      <c r="G31" s="1">
        <f t="shared" si="13"/>
        <v>1.8421967592592734</v>
      </c>
      <c r="L31" s="8"/>
    </row>
    <row r="32" spans="1:18" x14ac:dyDescent="0.3">
      <c r="A32" s="2">
        <v>3</v>
      </c>
      <c r="B32" s="1">
        <v>0.13</v>
      </c>
      <c r="C32" s="1">
        <v>7.64893</v>
      </c>
      <c r="D32" s="1">
        <f t="shared" si="11"/>
        <v>-1.3599999999999972</v>
      </c>
      <c r="E32" s="1">
        <v>12</v>
      </c>
      <c r="F32" s="1">
        <f t="shared" si="12"/>
        <v>-16.319999999999965</v>
      </c>
      <c r="G32" s="1">
        <f t="shared" si="13"/>
        <v>-0.46868443627451084</v>
      </c>
      <c r="L32" s="8"/>
    </row>
    <row r="33" spans="1:12" x14ac:dyDescent="0.3">
      <c r="A33" s="2">
        <v>4</v>
      </c>
      <c r="B33" s="1">
        <v>0.13500000000000001</v>
      </c>
      <c r="C33" s="1">
        <v>7.3623500000000002</v>
      </c>
      <c r="D33" s="1">
        <f t="shared" si="11"/>
        <v>-2.3599999999999972</v>
      </c>
      <c r="E33" s="1">
        <v>-24</v>
      </c>
      <c r="F33" s="1">
        <f t="shared" si="12"/>
        <v>56.63999999999993</v>
      </c>
      <c r="G33" s="1">
        <f t="shared" si="13"/>
        <v>0.12998499293785326</v>
      </c>
      <c r="L33" s="8"/>
    </row>
    <row r="34" spans="1:12" x14ac:dyDescent="0.3">
      <c r="A34" s="2">
        <v>5</v>
      </c>
      <c r="B34" s="1">
        <v>0.14000000000000001</v>
      </c>
      <c r="C34" s="1">
        <v>7.0961299999999996</v>
      </c>
      <c r="D34" s="1">
        <f t="shared" si="11"/>
        <v>-3.3599999999999972</v>
      </c>
      <c r="E34" s="1">
        <v>120</v>
      </c>
      <c r="F34" s="1">
        <f t="shared" si="12"/>
        <v>-403.19999999999965</v>
      </c>
      <c r="G34" s="1">
        <f>C34/F34</f>
        <v>-1.7599528769841284E-2</v>
      </c>
      <c r="L34" s="8"/>
    </row>
    <row r="35" spans="1:12" x14ac:dyDescent="0.3">
      <c r="L35" s="8"/>
    </row>
    <row r="36" spans="1:12" x14ac:dyDescent="0.3">
      <c r="A36" s="19" t="s">
        <v>2</v>
      </c>
      <c r="B36" s="20">
        <v>0.1232</v>
      </c>
      <c r="D36" s="17" t="s">
        <v>24</v>
      </c>
      <c r="E36" s="18">
        <f>B30-B29</f>
        <v>4.9999999999999906E-3</v>
      </c>
      <c r="L36" s="8"/>
    </row>
    <row r="37" spans="1:12" x14ac:dyDescent="0.3">
      <c r="D37" s="17" t="s">
        <v>23</v>
      </c>
      <c r="E37" s="18">
        <f>(B36-B29)/E36</f>
        <v>1.6400000000000028</v>
      </c>
      <c r="L37" s="8"/>
    </row>
    <row r="38" spans="1:12" x14ac:dyDescent="0.3">
      <c r="L38" s="8"/>
    </row>
    <row r="39" spans="1:12" x14ac:dyDescent="0.3">
      <c r="A39" s="17" t="s">
        <v>14</v>
      </c>
      <c r="B39" s="1">
        <f>PRODUCT(D29:D34)</f>
        <v>4.0748958351359761</v>
      </c>
      <c r="D39" s="35" t="s">
        <v>25</v>
      </c>
      <c r="E39" s="1">
        <f>SUM(G29:G34)</f>
        <v>1.9818352268123252</v>
      </c>
      <c r="L39" s="8"/>
    </row>
    <row r="40" spans="1:12" ht="15" thickBot="1" x14ac:dyDescent="0.35">
      <c r="D40" s="35"/>
      <c r="L40" s="8"/>
    </row>
    <row r="41" spans="1:12" ht="15" thickBot="1" x14ac:dyDescent="0.35">
      <c r="A41" s="4" t="s">
        <v>16</v>
      </c>
      <c r="B41" s="5">
        <f>B39*E39</f>
        <v>8.0757721116633068</v>
      </c>
      <c r="L41" s="8"/>
    </row>
    <row r="42" spans="1:12" x14ac:dyDescent="0.3">
      <c r="L42" s="8"/>
    </row>
    <row r="43" spans="1:12" x14ac:dyDescent="0.3">
      <c r="L43" s="8"/>
    </row>
    <row r="44" spans="1:12" x14ac:dyDescent="0.3">
      <c r="L44" s="8"/>
    </row>
    <row r="45" spans="1:12" x14ac:dyDescent="0.3">
      <c r="L45" s="8"/>
    </row>
  </sheetData>
  <mergeCells count="8">
    <mergeCell ref="A10:A11"/>
    <mergeCell ref="B10:H10"/>
    <mergeCell ref="I10:I11"/>
    <mergeCell ref="J10:J11"/>
    <mergeCell ref="U4:V5"/>
    <mergeCell ref="U6:V6"/>
    <mergeCell ref="Q23:R24"/>
    <mergeCell ref="D39:D4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Владимир Земляникин</dc:creator>
  <cp:lastModifiedBy>Владимир Земляникин</cp:lastModifiedBy>
  <dcterms:created xsi:type="dcterms:W3CDTF">2026-04-30T06:15:04Z</dcterms:created>
  <dcterms:modified xsi:type="dcterms:W3CDTF">2026-05-09T17:21:31Z</dcterms:modified>
</cp:coreProperties>
</file>